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Notas" sheetId="2" r:id="rId6"/>
    <sheet state="visible" name="Configuración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ID#AAACHp4CTFQ
Unknown Author    (2026-09-27 19:03:01)
Criterios: 2.1</t>
      </text>
    </comment>
    <comment authorId="0" ref="F5">
      <text>
        <t xml:space="preserve">======
ID#AAACHp4CTFs
Unknown Author    (2026-09-27 19:03:01)
Criterios: 1.2, 6.1</t>
      </text>
    </comment>
    <comment authorId="0" ref="G5">
      <text>
        <t xml:space="preserve">======
ID#AAACHp4CTEU
Unknown Author    (2026-09-27 19:03:01)
Criterios: 1.2, 6.1</t>
      </text>
    </comment>
    <comment authorId="0" ref="H5">
      <text>
        <t xml:space="preserve">======
ID#AAACHp4CTF0
Unknown Author    (2026-09-27 19:03:01)
Criterios: 2.1</t>
      </text>
    </comment>
    <comment authorId="0" ref="I5">
      <text>
        <t xml:space="preserve">======
ID#AAACHp4CTFI
Unknown Author    (2026-09-27 19:03:01)
Criterios: 1.1, 4.1</t>
      </text>
    </comment>
    <comment authorId="0" ref="J5">
      <text>
        <t xml:space="preserve">======
ID#AAACHp4CTEY
Unknown Author    (2026-09-27 19:03:01)
Criterios: 1.1, 4.1</t>
      </text>
    </comment>
    <comment authorId="0" ref="K5">
      <text>
        <t xml:space="preserve">======
ID#AAACHp4CTEw
Unknown Author    (2026-09-27 19:03:01)
Criterios: 1.1, 4.1</t>
      </text>
    </comment>
    <comment authorId="0" ref="L5">
      <text>
        <t xml:space="preserve">======
ID#AAACHp4CTEo
Unknown Author    (2026-09-27 19:03:01)
Criterios: 1.1, 4.1</t>
      </text>
    </comment>
    <comment authorId="0" ref="M5">
      <text>
        <t xml:space="preserve">======
ID#AAACHp4CTFM
Unknown Author    (2026-09-27 19:03:01)
Criterios: 1.2</t>
      </text>
    </comment>
    <comment authorId="0" ref="N5">
      <text>
        <t xml:space="preserve">======
ID#AAACHp4CTFE
Unknown Author    (2026-09-27 19:03:01)
Criterios: 1.2, 6.1</t>
      </text>
    </comment>
    <comment authorId="0" ref="O5">
      <text>
        <t xml:space="preserve">======
ID#AAACHp4CTFg
Unknown Author    (2026-09-27 19:03:01)
Criterios: 1.2, 6.1</t>
      </text>
    </comment>
    <comment authorId="0" ref="P5">
      <text>
        <t xml:space="preserve">======
ID#AAACHp4CTFc
Unknown Author    (2026-09-27 19:03:01)
Criterios: 1.1, 1.2</t>
      </text>
    </comment>
    <comment authorId="0" ref="Q5">
      <text>
        <t xml:space="preserve">======
ID#AAACHp4CTEs
Unknown Author    (2026-09-27 19:03:01)
Criterios: 1.1, 1.2</t>
      </text>
    </comment>
    <comment authorId="0" ref="R5">
      <text>
        <t xml:space="preserve">======
ID#AAACHp4CTFw
Unknown Author    (2026-09-27 19:03:01)
Criterios: 1.1</t>
      </text>
    </comment>
    <comment authorId="0" ref="S5">
      <text>
        <t xml:space="preserve">======
ID#AAACHp4CTEc
Unknown Author    (2026-09-27 19:03:01)
Criterios: 1.2, 6.1</t>
      </text>
    </comment>
    <comment authorId="0" ref="T5">
      <text>
        <t xml:space="preserve">======
ID#AAACHp4CTFY
Unknown Author    (2026-09-27 19:03:01)
Criterios: 2.1, 3.1, 5.1, 6.1</t>
      </text>
    </comment>
    <comment authorId="0" ref="V5">
      <text>
        <t xml:space="preserve">======
ID#AAACHp4CTFA
Unknown Author    (2026-09-27 19:03:01)
Seleccionar y emplear estrategias y herramientas para modelizar y resolver problemas.</t>
      </text>
    </comment>
    <comment authorId="0" ref="W5">
      <text>
        <t xml:space="preserve">======
ID#AAACHp4CTFU
Unknown Author    (2026-09-27 19:03:01)
Obtener las soluciones describiendo el procedimiento seguido.</t>
      </text>
    </comment>
    <comment authorId="0" ref="X5">
      <text>
        <t xml:space="preserve">======
ID#AAACHp4CTE8
Unknown Author    (2026-09-27 19:03:01)
Comprobar la validez matemática de las soluciones mediante razonamiento y argumentación.</t>
      </text>
    </comment>
    <comment authorId="0" ref="Y5">
      <text>
        <t xml:space="preserve">======
ID#AAACHp4CTFk
Unknown Author    (2026-09-27 19:03:01)
Formular e investigar conjeturas de forma guiada.</t>
      </text>
    </comment>
    <comment authorId="0" ref="Z5">
      <text>
        <t xml:space="preserve">======
ID#AAACHp4CTEg
Unknown Author    (2026-09-27 19:03:01)
Descomponer problemas y aplicar procedimientos de cálculo de forma eficaz.</t>
      </text>
    </comment>
    <comment authorId="0" ref="AA5">
      <text>
        <t xml:space="preserve">======
ID#AAACHp4CTEk
Unknown Author    (2026-09-27 19:03:01)
Conectar ideas matemáticas para profundizar en conceptos y procedimientos.</t>
      </text>
    </comment>
    <comment authorId="0" ref="AB5">
      <text>
        <t xml:space="preserve">======
ID#AAACHp4CTF4
Unknown Author    (2026-09-27 19:03:01)
Relacionar las matemáticas con la ciencia y la vida real, contrastando información.</t>
      </text>
    </comment>
    <comment authorId="0" ref="AC5">
      <text>
        <t xml:space="preserve">======
ID#AAACHp4CTE0
Unknown Author    (2026-09-27 19:03:01)
Perseverar ante la incertidumbre. Valoración directa (0-10) de la reflexión final.</t>
      </text>
    </comment>
    <comment authorId="0" ref="AD5">
      <text>
        <t xml:space="preserve">======
ID#AAACHp4CTFo
Unknown Author    (2026-09-27 19:03:01)
Aceptar y aprender del error. Valoración directa (0-10) de la reflexión final.</t>
      </text>
    </comment>
    <comment authorId="0" ref="C5">
      <text>
        <t xml:space="preserve">======
ID#AAACHp4CTE4
Unknown Author    (2026-09-27 19:03:01)
Criterios: 1.1</t>
      </text>
    </comment>
    <comment authorId="0" ref="D5">
      <text>
        <t xml:space="preserve">======
ID#AAACHp4CTEQ
Unknown Author    (2026-09-27 19:03:01)
Criterios: 1.1</t>
      </text>
    </comment>
  </commentList>
</comments>
</file>

<file path=xl/sharedStrings.xml><?xml version="1.0" encoding="utf-8"?>
<sst xmlns="http://schemas.openxmlformats.org/spreadsheetml/2006/main" count="104" uniqueCount="79">
  <si>
    <t>PRUEBA COMPETENCIAL 1 · Números reales — Calificación por criterios</t>
  </si>
  <si>
    <t xml:space="preserve">Matemáticas I · 1.º Bachillerato CIE · </t>
  </si>
  <si>
    <t>Cómo usar la hoja</t>
  </si>
  <si>
    <t>1. En la hoja «Notas», escribe los nombres del alumnado y la puntuación obtenida en cada apartado (celdas amarillas).</t>
  </si>
  <si>
    <t xml:space="preserve">   Cada celda solo admite valores entre 0 y la puntuación máxima del apartado (fila «Máx.»).</t>
  </si>
  <si>
    <t>2. Si un alumno deja un apartado sin hacer, pon 0. Si no se presenta, deja la fila entera en blanco.</t>
  </si>
  <si>
    <t>3. En las columnas 9.1 y 9.2 escribe la valoración (0-10) de la reflexión final. No cuenta en la nota de la prueba.</t>
  </si>
  <si>
    <t>4. La nota total (sobre 10) y la nota de cada criterio (sobre 10) se calculan solas.</t>
  </si>
  <si>
    <t>5. La fila «Ejemplo» muestra el formato esperado: bórrala o sobrescríbela antes de usar la hoja.</t>
  </si>
  <si>
    <t>Cómo se calcula la nota de cada criterio</t>
  </si>
  <si>
    <t>Nota del criterio = (puntos obtenidos en los apartados asociados ÷ puntos máximos de esos apartados) × 10.</t>
  </si>
  <si>
    <t>Si un apartado está asociado a varios criterios, su puntuación cuenta para todos ellos.</t>
  </si>
  <si>
    <t>La asignación apartado → criterio está en la hoja «Configuración» (1 = evalúa el criterio, 0 = no).</t>
  </si>
  <si>
    <t>Es una propuesta basada en los criterios de cada ejercicio de la prueba: puedes cambiar los 1 y 0,</t>
  </si>
  <si>
    <t>o poner pesos (p. ej. 0,5) si quieres que un apartado cuente menos en un criterio.</t>
  </si>
  <si>
    <t>Colores de las notas</t>
  </si>
  <si>
    <t>Rojo: &lt; 5 (Insuficiente) · Amarillo: 5 a &lt; 7 (Suficiente/Bien) · Verde claro: 7 a &lt; 9 (Notable) · Verde: ≥ 9 (Sobresaliente)</t>
  </si>
  <si>
    <t>Prueba competencial 1 · Números reales y lenguaje matemático — Matemáticas I · 1.º Bach. CIE</t>
  </si>
  <si>
    <t>Grupo:</t>
  </si>
  <si>
    <t>Fecha:</t>
  </si>
  <si>
    <t>Nº</t>
  </si>
  <si>
    <t>Alumno/a</t>
  </si>
  <si>
    <t>Ej. 1 · Intervalos y valor absoluto</t>
  </si>
  <si>
    <t>Ej. 2 · Errores</t>
  </si>
  <si>
    <t>Ej. 3 · Potencias y radicales</t>
  </si>
  <si>
    <t>Ej. 4 · Notación científica</t>
  </si>
  <si>
    <t>Ej. 5 · Logaritmos</t>
  </si>
  <si>
    <t>Ej. 6 · Richter</t>
  </si>
  <si>
    <t>NOTA PRUEBA</t>
  </si>
  <si>
    <t>NOTA POR CRITERIO (sobre 10)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</si>
  <si>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</si>
  <si>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</si>
  <si>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</si>
  <si>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</si>
  <si>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</si>
  <si>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</si>
  <si>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</si>
  <si>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</si>
  <si>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</si>
  <si>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3d</t>
  </si>
  <si>
    <t>4a</t>
  </si>
  <si>
    <t>4b</t>
  </si>
  <si>
    <t>4c</t>
  </si>
  <si>
    <t>5a</t>
  </si>
  <si>
    <t>5b</t>
  </si>
  <si>
    <t>5c</t>
  </si>
  <si>
    <t>5d</t>
  </si>
  <si>
    <t>6</t>
  </si>
  <si>
    <t>1.1</t>
  </si>
  <si>
    <t>1.2</t>
  </si>
  <si>
    <t>2.1</t>
  </si>
  <si>
    <t>3.1</t>
  </si>
  <si>
    <t>4.1</t>
  </si>
  <si>
    <t>5.1</t>
  </si>
  <si>
    <t>6.1</t>
  </si>
  <si>
    <t>9.1</t>
  </si>
  <si>
    <t>9.2</t>
  </si>
  <si>
    <t>Máx.</t>
  </si>
  <si>
    <t>Ej.</t>
  </si>
  <si>
    <t>Ejemplo (borrar)</t>
  </si>
  <si>
    <t>Estadística del grupo (sin la fila de ejemplo)</t>
  </si>
  <si>
    <t>Media</t>
  </si>
  <si>
    <t>Máximo</t>
  </si>
  <si>
    <t>Mínimo</t>
  </si>
  <si>
    <t>% ≥ 5</t>
  </si>
  <si>
    <t>Asignación de apartados a criterios de evaluación</t>
  </si>
  <si>
    <t>Celdas amarillas editables: 1 = el apartado evalúa el criterio; 0 = no. Puntuaciones máximas tomadas de la prueba.</t>
  </si>
  <si>
    <t>Criterio</t>
  </si>
  <si>
    <t>Descriptor</t>
  </si>
  <si>
    <t>Puntos máx. del criterio</t>
  </si>
  <si>
    <t>Puntuación máxima del apartado</t>
  </si>
  <si>
    <t>Seleccionar y emplear estrategias y herramientas para modelizar y resolver problemas.</t>
  </si>
  <si>
    <t>Obtener las soluciones describiendo el procedimiento seguido.</t>
  </si>
  <si>
    <t>Comprobar la validez matemática de las soluciones mediante razonamiento y argumentación.</t>
  </si>
  <si>
    <t>Formular e investigar conjeturas de forma guiada.</t>
  </si>
  <si>
    <t>Descomponer problemas y aplicar procedimientos de cálculo de forma eficaz.</t>
  </si>
  <si>
    <t>Conectar ideas matemáticas para profundizar en conceptos y procedimientos.</t>
  </si>
  <si>
    <t>Relacionar las matemáticas con la ciencia y la vida real, contrastando información.</t>
  </si>
  <si>
    <t>9.1 y 9.2 no se calculan desde la prueba: se valoran directamente (0-10) a partir de la reflexión final en la hoja «Notas».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</si>
</sst>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3.0"/>
      <color rgb="FF1F4E78"/>
      <name val="Arial"/>
    </font>
    <font>
      <sz val="11.0"/>
      <color rgb="FF000000"/>
      <name val="Arial"/>
    </font>
    <font>
      <b/>
      <sz val="11.0"/>
      <color rgb="FF1F4E78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/>
    <font>
      <b/>
      <sz val="10.0"/>
      <color theme="1"/>
      <name val="Arial"/>
    </font>
    <font>
      <i/>
      <sz val="10.0"/>
      <color rgb="FF808080"/>
      <name val="Arial"/>
    </font>
    <font>
      <b/>
      <i/>
      <sz val="10.0"/>
      <color rgb="FF808080"/>
      <name val="Arial"/>
    </font>
    <font>
      <sz val="10.0"/>
      <color theme="1"/>
      <name val="Arial"/>
    </font>
    <font>
      <sz val="10.0"/>
      <color rgb="FF0000FF"/>
      <name val="Arial"/>
    </font>
    <font>
      <i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375623"/>
        <bgColor rgb="FF375623"/>
      </patternFill>
    </fill>
    <fill>
      <patternFill patternType="solid">
        <fgColor rgb="FFD9E1F2"/>
        <bgColor rgb="FFD9E1F2"/>
      </patternFill>
    </fill>
  </fills>
  <borders count="8">
    <border/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2" fillId="3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3" fontId="6" numFmtId="0" xfId="0" applyAlignment="1" applyBorder="1" applyFill="1" applyFont="1">
      <alignment horizontal="center" shrinkToFit="0" vertical="center" wrapText="1"/>
    </xf>
    <xf borderId="7" fillId="0" fontId="7" numFmtId="0" xfId="0" applyBorder="1" applyFont="1"/>
    <xf borderId="6" fillId="4" fontId="6" numFmtId="0" xfId="0" applyAlignment="1" applyBorder="1" applyFill="1" applyFont="1">
      <alignment horizontal="center" shrinkToFit="0" vertical="center" wrapText="1"/>
    </xf>
    <xf borderId="6" fillId="5" fontId="8" numFmtId="2" xfId="0" applyAlignment="1" applyBorder="1" applyFill="1" applyFont="1" applyNumberForma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2" fontId="9" numFmtId="0" xfId="0" applyAlignment="1" applyBorder="1" applyFill="1" applyFont="1">
      <alignment shrinkToFit="0" vertical="center" wrapText="0"/>
    </xf>
    <xf borderId="6" fillId="2" fontId="9" numFmtId="2" xfId="0" applyAlignment="1" applyBorder="1" applyFill="1" applyFont="1" applyNumberFormat="1">
      <alignment horizontal="center" shrinkToFit="0" vertical="center" wrapText="1"/>
    </xf>
    <xf borderId="6" fillId="0" fontId="10" numFmtId="2" xfId="0" applyAlignment="1" applyBorder="1" applyFont="1" applyNumberFormat="1">
      <alignment horizontal="center" shrinkToFit="0" vertical="center" wrapText="1"/>
    </xf>
    <xf borderId="6" fillId="0" fontId="9" numFmtId="2" xfId="0" applyAlignment="1" applyBorder="1" applyFont="1" applyNumberForma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2" fontId="12" numFmtId="0" xfId="0" applyAlignment="1" applyBorder="1" applyFill="1" applyFont="1">
      <alignment shrinkToFit="0" vertical="center" wrapText="0"/>
    </xf>
    <xf borderId="6" fillId="2" fontId="12" numFmtId="2" xfId="0" applyAlignment="1" applyBorder="1" applyFill="1" applyFont="1" applyNumberFormat="1">
      <alignment horizontal="center" shrinkToFit="0" vertical="center" wrapText="1"/>
    </xf>
    <xf borderId="6" fillId="0" fontId="8" numFmtId="2" xfId="0" applyAlignment="1" applyBorder="1" applyFont="1" applyNumberFormat="1">
      <alignment horizontal="center" shrinkToFit="0" vertical="center" wrapText="1"/>
    </xf>
    <xf borderId="6" fillId="0" fontId="11" numFmtId="2" xfId="0" applyAlignment="1" applyBorder="1" applyFont="1" applyNumberFormat="1">
      <alignment horizontal="center" shrinkToFit="0" vertical="center" wrapText="1"/>
    </xf>
    <xf borderId="6" fillId="2" fontId="12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6" fillId="5" fontId="8" numFmtId="9" xfId="0" applyAlignment="1" applyBorder="1" applyFill="1" applyFont="1" applyNumberFormat="1">
      <alignment horizontal="center" shrinkToFit="0" vertical="center" wrapText="1"/>
    </xf>
    <xf borderId="6" fillId="3" fontId="6" numFmtId="0" xfId="0" applyAlignment="1" applyBorder="1" applyFill="1" applyFont="1">
      <alignment shrinkToFit="0" vertical="center" wrapText="1"/>
    </xf>
    <xf borderId="6" fillId="5" fontId="8" numFmtId="0" xfId="0" applyAlignment="1" applyBorder="1" applyFill="1" applyFont="1">
      <alignment horizontal="center" shrinkToFit="0" vertical="center" wrapText="1"/>
    </xf>
    <xf borderId="6" fillId="5" fontId="8" numFmtId="0" xfId="0" applyAlignment="1" applyBorder="1" applyFill="1" applyFont="1">
      <alignment shrinkToFit="0" vertical="center" wrapText="1"/>
    </xf>
    <xf borderId="6" fillId="0" fontId="11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70AD47"/>
          <bgColor rgb="FF70AD4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6" width="8.71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3" t="s">
        <v>8</v>
      </c>
    </row>
    <row r="11">
      <c r="A11" s="3"/>
    </row>
    <row r="12">
      <c r="A12" s="4" t="s">
        <v>9</v>
      </c>
    </row>
    <row r="13">
      <c r="A13" s="3" t="s">
        <v>10</v>
      </c>
    </row>
    <row r="14">
      <c r="A14" s="3" t="s">
        <v>11</v>
      </c>
    </row>
    <row r="15">
      <c r="A15" s="3" t="s">
        <v>12</v>
      </c>
    </row>
    <row r="16">
      <c r="A16" s="3" t="s">
        <v>13</v>
      </c>
    </row>
    <row r="17">
      <c r="A17" s="3" t="s">
        <v>14</v>
      </c>
    </row>
    <row r="18">
      <c r="A18" s="3"/>
    </row>
    <row r="19">
      <c r="A19" s="4" t="s">
        <v>15</v>
      </c>
    </row>
    <row r="20">
      <c r="A20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20" width="6.0"/>
    <col customWidth="1" min="21" max="21" width="9.0"/>
    <col customWidth="1" min="22" max="30" width="7.0"/>
  </cols>
  <sheetData>
    <row r="1">
      <c r="A1" s="1" t="s">
        <v>17</v>
      </c>
    </row>
    <row r="2">
      <c r="A2" s="5" t="s">
        <v>18</v>
      </c>
      <c r="C2" s="6"/>
      <c r="F2" s="5" t="s">
        <v>19</v>
      </c>
      <c r="H2" s="6"/>
    </row>
    <row r="4" ht="31.5" customHeight="1">
      <c r="A4" s="7" t="s">
        <v>20</v>
      </c>
      <c r="B4" s="7" t="s">
        <v>21</v>
      </c>
      <c r="C4" s="8" t="s">
        <v>22</v>
      </c>
      <c r="D4" s="9"/>
      <c r="E4" s="10"/>
      <c r="F4" s="8" t="s">
        <v>23</v>
      </c>
      <c r="G4" s="9"/>
      <c r="H4" s="10"/>
      <c r="I4" s="8" t="s">
        <v>24</v>
      </c>
      <c r="J4" s="9"/>
      <c r="K4" s="9"/>
      <c r="L4" s="10"/>
      <c r="M4" s="8" t="s">
        <v>25</v>
      </c>
      <c r="N4" s="9"/>
      <c r="O4" s="10"/>
      <c r="P4" s="8" t="s">
        <v>26</v>
      </c>
      <c r="Q4" s="9"/>
      <c r="R4" s="9"/>
      <c r="S4" s="10"/>
      <c r="T4" s="11" t="s">
        <v>27</v>
      </c>
      <c r="U4" s="7" t="s">
        <v>28</v>
      </c>
      <c r="V4" s="8" t="s">
        <v>29</v>
      </c>
      <c r="W4" s="9"/>
      <c r="X4" s="9"/>
      <c r="Y4" s="9"/>
      <c r="Z4" s="9"/>
      <c r="AA4" s="9"/>
      <c r="AB4" s="9"/>
      <c r="AC4" s="9"/>
      <c r="AD4" s="10"/>
    </row>
    <row r="5">
      <c r="A5" s="12"/>
      <c r="B5" s="12"/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1" t="s">
        <v>35</v>
      </c>
      <c r="I5" s="11" t="s">
        <v>36</v>
      </c>
      <c r="J5" s="11" t="s">
        <v>37</v>
      </c>
      <c r="K5" s="11" t="s">
        <v>38</v>
      </c>
      <c r="L5" s="11" t="s">
        <v>39</v>
      </c>
      <c r="M5" s="11" t="s">
        <v>40</v>
      </c>
      <c r="N5" s="11" t="s">
        <v>41</v>
      </c>
      <c r="O5" s="11" t="s">
        <v>42</v>
      </c>
      <c r="P5" s="11" t="s">
        <v>43</v>
      </c>
      <c r="Q5" s="11" t="s">
        <v>44</v>
      </c>
      <c r="R5" s="11" t="s">
        <v>45</v>
      </c>
      <c r="S5" s="11" t="s">
        <v>46</v>
      </c>
      <c r="T5" s="11" t="s">
        <v>47</v>
      </c>
      <c r="U5" s="12"/>
      <c r="V5" s="13" t="s">
        <v>48</v>
      </c>
      <c r="W5" s="13" t="s">
        <v>49</v>
      </c>
      <c r="X5" s="13" t="s">
        <v>50</v>
      </c>
      <c r="Y5" s="13" t="s">
        <v>51</v>
      </c>
      <c r="Z5" s="13" t="s">
        <v>52</v>
      </c>
      <c r="AA5" s="13" t="s">
        <v>53</v>
      </c>
      <c r="AB5" s="13" t="s">
        <v>54</v>
      </c>
      <c r="AC5" s="13" t="s">
        <v>55</v>
      </c>
      <c r="AD5" s="13" t="s">
        <v>56</v>
      </c>
    </row>
    <row r="6">
      <c r="A6" s="14"/>
      <c r="B6" s="14" t="s">
        <v>57</v>
      </c>
      <c r="C6" s="14">
        <f>'Configuración'!C5</f>
        <v>0.5</v>
      </c>
      <c r="D6" s="14">
        <f>'Configuración'!D5</f>
        <v>0.75</v>
      </c>
      <c r="E6" s="14">
        <f>'Configuración'!E5</f>
        <v>0.75</v>
      </c>
      <c r="F6" s="14">
        <f>'Configuración'!F5</f>
        <v>0.5</v>
      </c>
      <c r="G6" s="14">
        <f>'Configuración'!G5</f>
        <v>0.5</v>
      </c>
      <c r="H6" s="14">
        <f>'Configuración'!H5</f>
        <v>0.5</v>
      </c>
      <c r="I6" s="14">
        <f>'Configuración'!I5</f>
        <v>0.5</v>
      </c>
      <c r="J6" s="14">
        <f>'Configuración'!J5</f>
        <v>0.5</v>
      </c>
      <c r="K6" s="14">
        <f>'Configuración'!K5</f>
        <v>0.5</v>
      </c>
      <c r="L6" s="14">
        <f>'Configuración'!L5</f>
        <v>0.5</v>
      </c>
      <c r="M6" s="14">
        <f>'Configuración'!M5</f>
        <v>0.5</v>
      </c>
      <c r="N6" s="14">
        <f>'Configuración'!N5</f>
        <v>0.5</v>
      </c>
      <c r="O6" s="14">
        <f>'Configuración'!O5</f>
        <v>0.5</v>
      </c>
      <c r="P6" s="14">
        <f>'Configuración'!P5</f>
        <v>0.5</v>
      </c>
      <c r="Q6" s="14">
        <f>'Configuración'!Q5</f>
        <v>0.5</v>
      </c>
      <c r="R6" s="14">
        <f>'Configuración'!R5</f>
        <v>0.25</v>
      </c>
      <c r="S6" s="14">
        <f>'Configuración'!S5</f>
        <v>0.75</v>
      </c>
      <c r="T6" s="14">
        <f>'Configuración'!T5</f>
        <v>1</v>
      </c>
      <c r="U6" s="14">
        <f>SUM(C6:T6)</f>
        <v>10</v>
      </c>
      <c r="V6" s="14">
        <v>10.0</v>
      </c>
      <c r="W6" s="14">
        <v>10.0</v>
      </c>
      <c r="X6" s="14">
        <v>10.0</v>
      </c>
      <c r="Y6" s="14">
        <v>10.0</v>
      </c>
      <c r="Z6" s="14">
        <v>10.0</v>
      </c>
      <c r="AA6" s="14">
        <v>10.0</v>
      </c>
      <c r="AB6" s="14">
        <v>10.0</v>
      </c>
      <c r="AC6" s="14">
        <v>10.0</v>
      </c>
      <c r="AD6" s="14">
        <v>10.0</v>
      </c>
    </row>
    <row r="7">
      <c r="A7" s="15" t="s">
        <v>58</v>
      </c>
      <c r="B7" s="16" t="s">
        <v>59</v>
      </c>
      <c r="C7" s="17">
        <v>0.5</v>
      </c>
      <c r="D7" s="17">
        <v>0.5</v>
      </c>
      <c r="E7" s="17">
        <v>0.5</v>
      </c>
      <c r="F7" s="17">
        <v>0.5</v>
      </c>
      <c r="G7" s="17">
        <v>0.5</v>
      </c>
      <c r="H7" s="17">
        <v>0.25</v>
      </c>
      <c r="I7" s="17">
        <v>0.5</v>
      </c>
      <c r="J7" s="17">
        <v>0.5</v>
      </c>
      <c r="K7" s="17">
        <v>0.25</v>
      </c>
      <c r="L7" s="17">
        <v>0.0</v>
      </c>
      <c r="M7" s="17">
        <v>0.5</v>
      </c>
      <c r="N7" s="17">
        <v>0.5</v>
      </c>
      <c r="O7" s="17">
        <v>0.25</v>
      </c>
      <c r="P7" s="17">
        <v>0.5</v>
      </c>
      <c r="Q7" s="17">
        <v>0.5</v>
      </c>
      <c r="R7" s="17">
        <v>0.25</v>
      </c>
      <c r="S7" s="17">
        <v>0.5</v>
      </c>
      <c r="T7" s="17">
        <v>0.5</v>
      </c>
      <c r="U7" s="18">
        <f>IF(COUNT(C7:T7)=0,"",SUM(C7:T7))</f>
        <v>7.5</v>
      </c>
      <c r="V7" s="19" t="str">
        <f>IF(COUNT(C7:T7)=0,"",IFERROR(SUMPRODUCT(C7:T7,'Configuración'!$C$6:$T$6)/'Configuración'!$U$6*10,""))</f>
        <v/>
      </c>
      <c r="W7" s="19" t="str">
        <f>IF(COUNT(C7:T7)=0,"",IFERROR(SUMPRODUCT(C7:T7,'Configuración'!$C$7:$T$7)/'Configuración'!$U$7*10,""))</f>
        <v/>
      </c>
      <c r="X7" s="19" t="str">
        <f>IF(COUNT(C7:T7)=0,"",IFERROR(SUMPRODUCT(C7:T7,'Configuración'!$C$8:$T$8)/'Configuración'!$U$8*10,""))</f>
        <v/>
      </c>
      <c r="Y7" s="19" t="str">
        <f>IF(COUNT(C7:T7)=0,"",IFERROR(SUMPRODUCT(C7:T7,'Configuración'!$C$9:$T$9)/'Configuración'!$U$9*10,""))</f>
        <v/>
      </c>
      <c r="Z7" s="19" t="str">
        <f>IF(COUNT(C7:T7)=0,"",IFERROR(SUMPRODUCT(C7:T7,'Configuración'!$C$10:$T$10)/'Configuración'!$U$10*10,""))</f>
        <v/>
      </c>
      <c r="AA7" s="19" t="str">
        <f>IF(COUNT(C7:T7)=0,"",IFERROR(SUMPRODUCT(C7:T7,'Configuración'!$C$11:$T$11)/'Configuración'!$U$11*10,""))</f>
        <v/>
      </c>
      <c r="AB7" s="19" t="str">
        <f>IF(COUNT(C7:T7)=0,"",IFERROR(SUMPRODUCT(C7:T7,'Configuración'!$C$12:$T$12)/'Configuración'!$U$12*10,""))</f>
        <v/>
      </c>
      <c r="AC7" s="20">
        <v>7.0</v>
      </c>
      <c r="AD7" s="20">
        <v>6.0</v>
      </c>
    </row>
    <row r="8">
      <c r="A8" s="21"/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4"/>
      <c r="V8" s="25"/>
      <c r="W8" s="25"/>
      <c r="X8" s="25"/>
      <c r="Y8" s="25"/>
      <c r="Z8" s="25"/>
      <c r="AA8" s="25"/>
      <c r="AB8" s="25"/>
      <c r="AC8" s="26"/>
      <c r="AD8" s="26"/>
    </row>
    <row r="9">
      <c r="A9" s="21"/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4"/>
      <c r="V9" s="25"/>
      <c r="W9" s="25"/>
      <c r="X9" s="25"/>
      <c r="Y9" s="25"/>
      <c r="Z9" s="25"/>
      <c r="AA9" s="25"/>
      <c r="AB9" s="25"/>
      <c r="AC9" s="26"/>
      <c r="AD9" s="26"/>
    </row>
    <row r="10">
      <c r="A10" s="21"/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4"/>
      <c r="V10" s="25"/>
      <c r="W10" s="25"/>
      <c r="X10" s="25"/>
      <c r="Y10" s="25"/>
      <c r="Z10" s="25"/>
      <c r="AA10" s="25"/>
      <c r="AB10" s="25"/>
      <c r="AC10" s="26"/>
      <c r="AD10" s="26"/>
    </row>
    <row r="11">
      <c r="A11" s="21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4"/>
      <c r="V11" s="25"/>
      <c r="W11" s="25"/>
      <c r="X11" s="25"/>
      <c r="Y11" s="25"/>
      <c r="Z11" s="25"/>
      <c r="AA11" s="25"/>
      <c r="AB11" s="25"/>
      <c r="AC11" s="26"/>
      <c r="AD11" s="26"/>
    </row>
    <row r="12">
      <c r="A12" s="21"/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4"/>
      <c r="V12" s="25"/>
      <c r="W12" s="25"/>
      <c r="X12" s="25"/>
      <c r="Y12" s="25"/>
      <c r="Z12" s="25"/>
      <c r="AA12" s="25"/>
      <c r="AB12" s="25"/>
      <c r="AC12" s="26"/>
      <c r="AD12" s="26"/>
    </row>
    <row r="13">
      <c r="A13" s="21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4"/>
      <c r="V13" s="25"/>
      <c r="W13" s="25"/>
      <c r="X13" s="25"/>
      <c r="Y13" s="25"/>
      <c r="Z13" s="25"/>
      <c r="AA13" s="25"/>
      <c r="AB13" s="25"/>
      <c r="AC13" s="26"/>
      <c r="AD13" s="26"/>
    </row>
    <row r="14">
      <c r="A14" s="21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4"/>
      <c r="V14" s="25"/>
      <c r="W14" s="25"/>
      <c r="X14" s="25"/>
      <c r="Y14" s="25"/>
      <c r="Z14" s="25"/>
      <c r="AA14" s="25"/>
      <c r="AB14" s="25"/>
      <c r="AC14" s="26"/>
      <c r="AD14" s="26"/>
    </row>
    <row r="15">
      <c r="A15" s="21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4"/>
      <c r="V15" s="25"/>
      <c r="W15" s="25"/>
      <c r="X15" s="25"/>
      <c r="Y15" s="25"/>
      <c r="Z15" s="25"/>
      <c r="AA15" s="25"/>
      <c r="AB15" s="25"/>
      <c r="AC15" s="26"/>
      <c r="AD15" s="26"/>
    </row>
    <row r="16">
      <c r="A16" s="21"/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4"/>
      <c r="V16" s="25"/>
      <c r="W16" s="25"/>
      <c r="X16" s="25"/>
      <c r="Y16" s="25"/>
      <c r="Z16" s="25"/>
      <c r="AA16" s="25"/>
      <c r="AB16" s="25"/>
      <c r="AC16" s="26"/>
      <c r="AD16" s="26"/>
    </row>
    <row r="17">
      <c r="A17" s="21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4"/>
      <c r="V17" s="25"/>
      <c r="W17" s="25"/>
      <c r="X17" s="25"/>
      <c r="Y17" s="25"/>
      <c r="Z17" s="25"/>
      <c r="AA17" s="25"/>
      <c r="AB17" s="25"/>
      <c r="AC17" s="26"/>
      <c r="AD17" s="26"/>
    </row>
    <row r="18">
      <c r="A18" s="21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4"/>
      <c r="V18" s="25"/>
      <c r="W18" s="25"/>
      <c r="X18" s="25"/>
      <c r="Y18" s="25"/>
      <c r="Z18" s="25"/>
      <c r="AA18" s="25"/>
      <c r="AB18" s="25"/>
      <c r="AC18" s="26"/>
      <c r="AD18" s="26"/>
    </row>
    <row r="19">
      <c r="A19" s="21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4"/>
      <c r="V19" s="25"/>
      <c r="W19" s="25"/>
      <c r="X19" s="25"/>
      <c r="Y19" s="25"/>
      <c r="Z19" s="25"/>
      <c r="AA19" s="25"/>
      <c r="AB19" s="25"/>
      <c r="AC19" s="26"/>
      <c r="AD19" s="26"/>
    </row>
    <row r="20">
      <c r="A20" s="21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4"/>
      <c r="V20" s="25"/>
      <c r="W20" s="25"/>
      <c r="X20" s="25"/>
      <c r="Y20" s="25"/>
      <c r="Z20" s="25"/>
      <c r="AA20" s="25"/>
      <c r="AB20" s="25"/>
      <c r="AC20" s="26"/>
      <c r="AD20" s="26"/>
    </row>
    <row r="21" ht="15.75" customHeight="1">
      <c r="A21" s="21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4"/>
      <c r="V21" s="25"/>
      <c r="W21" s="25"/>
      <c r="X21" s="25"/>
      <c r="Y21" s="25"/>
      <c r="Z21" s="25"/>
      <c r="AA21" s="25"/>
      <c r="AB21" s="25"/>
      <c r="AC21" s="26"/>
      <c r="AD21" s="26"/>
    </row>
    <row r="22" ht="15.75" customHeight="1">
      <c r="A22" s="21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4"/>
      <c r="V22" s="25"/>
      <c r="W22" s="25"/>
      <c r="X22" s="25"/>
      <c r="Y22" s="25"/>
      <c r="Z22" s="25"/>
      <c r="AA22" s="25"/>
      <c r="AB22" s="25"/>
      <c r="AC22" s="26"/>
      <c r="AD22" s="26"/>
    </row>
    <row r="23" ht="15.75" customHeight="1">
      <c r="A23" s="21">
        <v>16.0</v>
      </c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4" t="str">
        <f t="shared" ref="U23:U42" si="1">IF(COUNT(C23:T23)=0,"",SUM(C23:T23))</f>
        <v/>
      </c>
      <c r="V23" s="25" t="str">
        <f>IF(COUNT(C23:T23)=0,"",IFERROR(SUMPRODUCT(C23:T23,'Configuración'!$C$6:$T$6)/'Configuración'!$U$6*10,""))</f>
        <v/>
      </c>
      <c r="W23" s="25" t="str">
        <f>IF(COUNT(C23:T23)=0,"",IFERROR(SUMPRODUCT(C23:T23,'Configuración'!$C$7:$T$7)/'Configuración'!$U$7*10,""))</f>
        <v/>
      </c>
      <c r="X23" s="25" t="str">
        <f>IF(COUNT(C23:T23)=0,"",IFERROR(SUMPRODUCT(C23:T23,'Configuración'!$C$8:$T$8)/'Configuración'!$U$8*10,""))</f>
        <v/>
      </c>
      <c r="Y23" s="25" t="str">
        <f>IF(COUNT(C23:T23)=0,"",IFERROR(SUMPRODUCT(C23:T23,'Configuración'!$C$9:$T$9)/'Configuración'!$U$9*10,""))</f>
        <v/>
      </c>
      <c r="Z23" s="25" t="str">
        <f>IF(COUNT(C23:T23)=0,"",IFERROR(SUMPRODUCT(C23:T23,'Configuración'!$C$10:$T$10)/'Configuración'!$U$10*10,""))</f>
        <v/>
      </c>
      <c r="AA23" s="25" t="str">
        <f>IF(COUNT(C23:T23)=0,"",IFERROR(SUMPRODUCT(C23:T23,'Configuración'!$C$11:$T$11)/'Configuración'!$U$11*10,""))</f>
        <v/>
      </c>
      <c r="AB23" s="25" t="str">
        <f>IF(COUNT(C23:T23)=0,"",IFERROR(SUMPRODUCT(C23:T23,'Configuración'!$C$12:$T$12)/'Configuración'!$U$12*10,""))</f>
        <v/>
      </c>
      <c r="AC23" s="26"/>
      <c r="AD23" s="26"/>
    </row>
    <row r="24" ht="15.75" customHeight="1">
      <c r="A24" s="21">
        <v>17.0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4" t="str">
        <f t="shared" si="1"/>
        <v/>
      </c>
      <c r="V24" s="25" t="str">
        <f>IF(COUNT(C24:T24)=0,"",IFERROR(SUMPRODUCT(C24:T24,'Configuración'!$C$6:$T$6)/'Configuración'!$U$6*10,""))</f>
        <v/>
      </c>
      <c r="W24" s="25" t="str">
        <f>IF(COUNT(C24:T24)=0,"",IFERROR(SUMPRODUCT(C24:T24,'Configuración'!$C$7:$T$7)/'Configuración'!$U$7*10,""))</f>
        <v/>
      </c>
      <c r="X24" s="25" t="str">
        <f>IF(COUNT(C24:T24)=0,"",IFERROR(SUMPRODUCT(C24:T24,'Configuración'!$C$8:$T$8)/'Configuración'!$U$8*10,""))</f>
        <v/>
      </c>
      <c r="Y24" s="25" t="str">
        <f>IF(COUNT(C24:T24)=0,"",IFERROR(SUMPRODUCT(C24:T24,'Configuración'!$C$9:$T$9)/'Configuración'!$U$9*10,""))</f>
        <v/>
      </c>
      <c r="Z24" s="25" t="str">
        <f>IF(COUNT(C24:T24)=0,"",IFERROR(SUMPRODUCT(C24:T24,'Configuración'!$C$10:$T$10)/'Configuración'!$U$10*10,""))</f>
        <v/>
      </c>
      <c r="AA24" s="25" t="str">
        <f>IF(COUNT(C24:T24)=0,"",IFERROR(SUMPRODUCT(C24:T24,'Configuración'!$C$11:$T$11)/'Configuración'!$U$11*10,""))</f>
        <v/>
      </c>
      <c r="AB24" s="25" t="str">
        <f>IF(COUNT(C24:T24)=0,"",IFERROR(SUMPRODUCT(C24:T24,'Configuración'!$C$12:$T$12)/'Configuración'!$U$12*10,""))</f>
        <v/>
      </c>
      <c r="AC24" s="26"/>
      <c r="AD24" s="26"/>
    </row>
    <row r="25" ht="15.75" customHeight="1">
      <c r="A25" s="21">
        <v>18.0</v>
      </c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4" t="str">
        <f t="shared" si="1"/>
        <v/>
      </c>
      <c r="V25" s="25" t="str">
        <f>IF(COUNT(C25:T25)=0,"",IFERROR(SUMPRODUCT(C25:T25,'Configuración'!$C$6:$T$6)/'Configuración'!$U$6*10,""))</f>
        <v/>
      </c>
      <c r="W25" s="25" t="str">
        <f>IF(COUNT(C25:T25)=0,"",IFERROR(SUMPRODUCT(C25:T25,'Configuración'!$C$7:$T$7)/'Configuración'!$U$7*10,""))</f>
        <v/>
      </c>
      <c r="X25" s="25" t="str">
        <f>IF(COUNT(C25:T25)=0,"",IFERROR(SUMPRODUCT(C25:T25,'Configuración'!$C$8:$T$8)/'Configuración'!$U$8*10,""))</f>
        <v/>
      </c>
      <c r="Y25" s="25" t="str">
        <f>IF(COUNT(C25:T25)=0,"",IFERROR(SUMPRODUCT(C25:T25,'Configuración'!$C$9:$T$9)/'Configuración'!$U$9*10,""))</f>
        <v/>
      </c>
      <c r="Z25" s="25" t="str">
        <f>IF(COUNT(C25:T25)=0,"",IFERROR(SUMPRODUCT(C25:T25,'Configuración'!$C$10:$T$10)/'Configuración'!$U$10*10,""))</f>
        <v/>
      </c>
      <c r="AA25" s="25" t="str">
        <f>IF(COUNT(C25:T25)=0,"",IFERROR(SUMPRODUCT(C25:T25,'Configuración'!$C$11:$T$11)/'Configuración'!$U$11*10,""))</f>
        <v/>
      </c>
      <c r="AB25" s="25" t="str">
        <f>IF(COUNT(C25:T25)=0,"",IFERROR(SUMPRODUCT(C25:T25,'Configuración'!$C$12:$T$12)/'Configuración'!$U$12*10,""))</f>
        <v/>
      </c>
      <c r="AC25" s="26"/>
      <c r="AD25" s="26"/>
    </row>
    <row r="26" ht="15.75" customHeight="1">
      <c r="A26" s="21">
        <v>19.0</v>
      </c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4" t="str">
        <f t="shared" si="1"/>
        <v/>
      </c>
      <c r="V26" s="25" t="str">
        <f>IF(COUNT(C26:T26)=0,"",IFERROR(SUMPRODUCT(C26:T26,'Configuración'!$C$6:$T$6)/'Configuración'!$U$6*10,""))</f>
        <v/>
      </c>
      <c r="W26" s="25" t="str">
        <f>IF(COUNT(C26:T26)=0,"",IFERROR(SUMPRODUCT(C26:T26,'Configuración'!$C$7:$T$7)/'Configuración'!$U$7*10,""))</f>
        <v/>
      </c>
      <c r="X26" s="25" t="str">
        <f>IF(COUNT(C26:T26)=0,"",IFERROR(SUMPRODUCT(C26:T26,'Configuración'!$C$8:$T$8)/'Configuración'!$U$8*10,""))</f>
        <v/>
      </c>
      <c r="Y26" s="25" t="str">
        <f>IF(COUNT(C26:T26)=0,"",IFERROR(SUMPRODUCT(C26:T26,'Configuración'!$C$9:$T$9)/'Configuración'!$U$9*10,""))</f>
        <v/>
      </c>
      <c r="Z26" s="25" t="str">
        <f>IF(COUNT(C26:T26)=0,"",IFERROR(SUMPRODUCT(C26:T26,'Configuración'!$C$10:$T$10)/'Configuración'!$U$10*10,""))</f>
        <v/>
      </c>
      <c r="AA26" s="25" t="str">
        <f>IF(COUNT(C26:T26)=0,"",IFERROR(SUMPRODUCT(C26:T26,'Configuración'!$C$11:$T$11)/'Configuración'!$U$11*10,""))</f>
        <v/>
      </c>
      <c r="AB26" s="25" t="str">
        <f>IF(COUNT(C26:T26)=0,"",IFERROR(SUMPRODUCT(C26:T26,'Configuración'!$C$12:$T$12)/'Configuración'!$U$12*10,""))</f>
        <v/>
      </c>
      <c r="AC26" s="26"/>
      <c r="AD26" s="26"/>
    </row>
    <row r="27" ht="15.75" customHeight="1">
      <c r="A27" s="21">
        <v>20.0</v>
      </c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4" t="str">
        <f t="shared" si="1"/>
        <v/>
      </c>
      <c r="V27" s="25" t="str">
        <f>IF(COUNT(C27:T27)=0,"",IFERROR(SUMPRODUCT(C27:T27,'Configuración'!$C$6:$T$6)/'Configuración'!$U$6*10,""))</f>
        <v/>
      </c>
      <c r="W27" s="25" t="str">
        <f>IF(COUNT(C27:T27)=0,"",IFERROR(SUMPRODUCT(C27:T27,'Configuración'!$C$7:$T$7)/'Configuración'!$U$7*10,""))</f>
        <v/>
      </c>
      <c r="X27" s="25" t="str">
        <f>IF(COUNT(C27:T27)=0,"",IFERROR(SUMPRODUCT(C27:T27,'Configuración'!$C$8:$T$8)/'Configuración'!$U$8*10,""))</f>
        <v/>
      </c>
      <c r="Y27" s="25" t="str">
        <f>IF(COUNT(C27:T27)=0,"",IFERROR(SUMPRODUCT(C27:T27,'Configuración'!$C$9:$T$9)/'Configuración'!$U$9*10,""))</f>
        <v/>
      </c>
      <c r="Z27" s="25" t="str">
        <f>IF(COUNT(C27:T27)=0,"",IFERROR(SUMPRODUCT(C27:T27,'Configuración'!$C$10:$T$10)/'Configuración'!$U$10*10,""))</f>
        <v/>
      </c>
      <c r="AA27" s="25" t="str">
        <f>IF(COUNT(C27:T27)=0,"",IFERROR(SUMPRODUCT(C27:T27,'Configuración'!$C$11:$T$11)/'Configuración'!$U$11*10,""))</f>
        <v/>
      </c>
      <c r="AB27" s="25" t="str">
        <f>IF(COUNT(C27:T27)=0,"",IFERROR(SUMPRODUCT(C27:T27,'Configuración'!$C$12:$T$12)/'Configuración'!$U$12*10,""))</f>
        <v/>
      </c>
      <c r="AC27" s="26"/>
      <c r="AD27" s="26"/>
    </row>
    <row r="28" ht="15.75" customHeight="1">
      <c r="A28" s="21">
        <v>21.0</v>
      </c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4" t="str">
        <f t="shared" si="1"/>
        <v/>
      </c>
      <c r="V28" s="25" t="str">
        <f>IF(COUNT(C28:T28)=0,"",IFERROR(SUMPRODUCT(C28:T28,'Configuración'!$C$6:$T$6)/'Configuración'!$U$6*10,""))</f>
        <v/>
      </c>
      <c r="W28" s="25" t="str">
        <f>IF(COUNT(C28:T28)=0,"",IFERROR(SUMPRODUCT(C28:T28,'Configuración'!$C$7:$T$7)/'Configuración'!$U$7*10,""))</f>
        <v/>
      </c>
      <c r="X28" s="25" t="str">
        <f>IF(COUNT(C28:T28)=0,"",IFERROR(SUMPRODUCT(C28:T28,'Configuración'!$C$8:$T$8)/'Configuración'!$U$8*10,""))</f>
        <v/>
      </c>
      <c r="Y28" s="25" t="str">
        <f>IF(COUNT(C28:T28)=0,"",IFERROR(SUMPRODUCT(C28:T28,'Configuración'!$C$9:$T$9)/'Configuración'!$U$9*10,""))</f>
        <v/>
      </c>
      <c r="Z28" s="25" t="str">
        <f>IF(COUNT(C28:T28)=0,"",IFERROR(SUMPRODUCT(C28:T28,'Configuración'!$C$10:$T$10)/'Configuración'!$U$10*10,""))</f>
        <v/>
      </c>
      <c r="AA28" s="25" t="str">
        <f>IF(COUNT(C28:T28)=0,"",IFERROR(SUMPRODUCT(C28:T28,'Configuración'!$C$11:$T$11)/'Configuración'!$U$11*10,""))</f>
        <v/>
      </c>
      <c r="AB28" s="25" t="str">
        <f>IF(COUNT(C28:T28)=0,"",IFERROR(SUMPRODUCT(C28:T28,'Configuración'!$C$12:$T$12)/'Configuración'!$U$12*10,""))</f>
        <v/>
      </c>
      <c r="AC28" s="26"/>
      <c r="AD28" s="26"/>
    </row>
    <row r="29" ht="15.75" customHeight="1">
      <c r="A29" s="21">
        <v>22.0</v>
      </c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4" t="str">
        <f t="shared" si="1"/>
        <v/>
      </c>
      <c r="V29" s="25" t="str">
        <f>IF(COUNT(C29:T29)=0,"",IFERROR(SUMPRODUCT(C29:T29,'Configuración'!$C$6:$T$6)/'Configuración'!$U$6*10,""))</f>
        <v/>
      </c>
      <c r="W29" s="25" t="str">
        <f>IF(COUNT(C29:T29)=0,"",IFERROR(SUMPRODUCT(C29:T29,'Configuración'!$C$7:$T$7)/'Configuración'!$U$7*10,""))</f>
        <v/>
      </c>
      <c r="X29" s="25" t="str">
        <f>IF(COUNT(C29:T29)=0,"",IFERROR(SUMPRODUCT(C29:T29,'Configuración'!$C$8:$T$8)/'Configuración'!$U$8*10,""))</f>
        <v/>
      </c>
      <c r="Y29" s="25" t="str">
        <f>IF(COUNT(C29:T29)=0,"",IFERROR(SUMPRODUCT(C29:T29,'Configuración'!$C$9:$T$9)/'Configuración'!$U$9*10,""))</f>
        <v/>
      </c>
      <c r="Z29" s="25" t="str">
        <f>IF(COUNT(C29:T29)=0,"",IFERROR(SUMPRODUCT(C29:T29,'Configuración'!$C$10:$T$10)/'Configuración'!$U$10*10,""))</f>
        <v/>
      </c>
      <c r="AA29" s="25" t="str">
        <f>IF(COUNT(C29:T29)=0,"",IFERROR(SUMPRODUCT(C29:T29,'Configuración'!$C$11:$T$11)/'Configuración'!$U$11*10,""))</f>
        <v/>
      </c>
      <c r="AB29" s="25" t="str">
        <f>IF(COUNT(C29:T29)=0,"",IFERROR(SUMPRODUCT(C29:T29,'Configuración'!$C$12:$T$12)/'Configuración'!$U$12*10,""))</f>
        <v/>
      </c>
      <c r="AC29" s="26"/>
      <c r="AD29" s="26"/>
    </row>
    <row r="30" ht="15.75" customHeight="1">
      <c r="A30" s="21">
        <v>23.0</v>
      </c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4" t="str">
        <f t="shared" si="1"/>
        <v/>
      </c>
      <c r="V30" s="25" t="str">
        <f>IF(COUNT(C30:T30)=0,"",IFERROR(SUMPRODUCT(C30:T30,'Configuración'!$C$6:$T$6)/'Configuración'!$U$6*10,""))</f>
        <v/>
      </c>
      <c r="W30" s="25" t="str">
        <f>IF(COUNT(C30:T30)=0,"",IFERROR(SUMPRODUCT(C30:T30,'Configuración'!$C$7:$T$7)/'Configuración'!$U$7*10,""))</f>
        <v/>
      </c>
      <c r="X30" s="25" t="str">
        <f>IF(COUNT(C30:T30)=0,"",IFERROR(SUMPRODUCT(C30:T30,'Configuración'!$C$8:$T$8)/'Configuración'!$U$8*10,""))</f>
        <v/>
      </c>
      <c r="Y30" s="25" t="str">
        <f>IF(COUNT(C30:T30)=0,"",IFERROR(SUMPRODUCT(C30:T30,'Configuración'!$C$9:$T$9)/'Configuración'!$U$9*10,""))</f>
        <v/>
      </c>
      <c r="Z30" s="25" t="str">
        <f>IF(COUNT(C30:T30)=0,"",IFERROR(SUMPRODUCT(C30:T30,'Configuración'!$C$10:$T$10)/'Configuración'!$U$10*10,""))</f>
        <v/>
      </c>
      <c r="AA30" s="25" t="str">
        <f>IF(COUNT(C30:T30)=0,"",IFERROR(SUMPRODUCT(C30:T30,'Configuración'!$C$11:$T$11)/'Configuración'!$U$11*10,""))</f>
        <v/>
      </c>
      <c r="AB30" s="25" t="str">
        <f>IF(COUNT(C30:T30)=0,"",IFERROR(SUMPRODUCT(C30:T30,'Configuración'!$C$12:$T$12)/'Configuración'!$U$12*10,""))</f>
        <v/>
      </c>
      <c r="AC30" s="26"/>
      <c r="AD30" s="26"/>
    </row>
    <row r="31" ht="15.75" customHeight="1">
      <c r="A31" s="21">
        <v>24.0</v>
      </c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4" t="str">
        <f t="shared" si="1"/>
        <v/>
      </c>
      <c r="V31" s="25" t="str">
        <f>IF(COUNT(C31:T31)=0,"",IFERROR(SUMPRODUCT(C31:T31,'Configuración'!$C$6:$T$6)/'Configuración'!$U$6*10,""))</f>
        <v/>
      </c>
      <c r="W31" s="25" t="str">
        <f>IF(COUNT(C31:T31)=0,"",IFERROR(SUMPRODUCT(C31:T31,'Configuración'!$C$7:$T$7)/'Configuración'!$U$7*10,""))</f>
        <v/>
      </c>
      <c r="X31" s="25" t="str">
        <f>IF(COUNT(C31:T31)=0,"",IFERROR(SUMPRODUCT(C31:T31,'Configuración'!$C$8:$T$8)/'Configuración'!$U$8*10,""))</f>
        <v/>
      </c>
      <c r="Y31" s="25" t="str">
        <f>IF(COUNT(C31:T31)=0,"",IFERROR(SUMPRODUCT(C31:T31,'Configuración'!$C$9:$T$9)/'Configuración'!$U$9*10,""))</f>
        <v/>
      </c>
      <c r="Z31" s="25" t="str">
        <f>IF(COUNT(C31:T31)=0,"",IFERROR(SUMPRODUCT(C31:T31,'Configuración'!$C$10:$T$10)/'Configuración'!$U$10*10,""))</f>
        <v/>
      </c>
      <c r="AA31" s="25" t="str">
        <f>IF(COUNT(C31:T31)=0,"",IFERROR(SUMPRODUCT(C31:T31,'Configuración'!$C$11:$T$11)/'Configuración'!$U$11*10,""))</f>
        <v/>
      </c>
      <c r="AB31" s="25" t="str">
        <f>IF(COUNT(C31:T31)=0,"",IFERROR(SUMPRODUCT(C31:T31,'Configuración'!$C$12:$T$12)/'Configuración'!$U$12*10,""))</f>
        <v/>
      </c>
      <c r="AC31" s="26"/>
      <c r="AD31" s="26"/>
    </row>
    <row r="32" ht="15.75" customHeight="1">
      <c r="A32" s="21">
        <v>25.0</v>
      </c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4" t="str">
        <f t="shared" si="1"/>
        <v/>
      </c>
      <c r="V32" s="25" t="str">
        <f>IF(COUNT(C32:T32)=0,"",IFERROR(SUMPRODUCT(C32:T32,'Configuración'!$C$6:$T$6)/'Configuración'!$U$6*10,""))</f>
        <v/>
      </c>
      <c r="W32" s="25" t="str">
        <f>IF(COUNT(C32:T32)=0,"",IFERROR(SUMPRODUCT(C32:T32,'Configuración'!$C$7:$T$7)/'Configuración'!$U$7*10,""))</f>
        <v/>
      </c>
      <c r="X32" s="25" t="str">
        <f>IF(COUNT(C32:T32)=0,"",IFERROR(SUMPRODUCT(C32:T32,'Configuración'!$C$8:$T$8)/'Configuración'!$U$8*10,""))</f>
        <v/>
      </c>
      <c r="Y32" s="25" t="str">
        <f>IF(COUNT(C32:T32)=0,"",IFERROR(SUMPRODUCT(C32:T32,'Configuración'!$C$9:$T$9)/'Configuración'!$U$9*10,""))</f>
        <v/>
      </c>
      <c r="Z32" s="25" t="str">
        <f>IF(COUNT(C32:T32)=0,"",IFERROR(SUMPRODUCT(C32:T32,'Configuración'!$C$10:$T$10)/'Configuración'!$U$10*10,""))</f>
        <v/>
      </c>
      <c r="AA32" s="25" t="str">
        <f>IF(COUNT(C32:T32)=0,"",IFERROR(SUMPRODUCT(C32:T32,'Configuración'!$C$11:$T$11)/'Configuración'!$U$11*10,""))</f>
        <v/>
      </c>
      <c r="AB32" s="25" t="str">
        <f>IF(COUNT(C32:T32)=0,"",IFERROR(SUMPRODUCT(C32:T32,'Configuración'!$C$12:$T$12)/'Configuración'!$U$12*10,""))</f>
        <v/>
      </c>
      <c r="AC32" s="26"/>
      <c r="AD32" s="26"/>
    </row>
    <row r="33" ht="15.75" customHeight="1">
      <c r="A33" s="21">
        <v>26.0</v>
      </c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4" t="str">
        <f t="shared" si="1"/>
        <v/>
      </c>
      <c r="V33" s="25" t="str">
        <f>IF(COUNT(C33:T33)=0,"",IFERROR(SUMPRODUCT(C33:T33,'Configuración'!$C$6:$T$6)/'Configuración'!$U$6*10,""))</f>
        <v/>
      </c>
      <c r="W33" s="25" t="str">
        <f>IF(COUNT(C33:T33)=0,"",IFERROR(SUMPRODUCT(C33:T33,'Configuración'!$C$7:$T$7)/'Configuración'!$U$7*10,""))</f>
        <v/>
      </c>
      <c r="X33" s="25" t="str">
        <f>IF(COUNT(C33:T33)=0,"",IFERROR(SUMPRODUCT(C33:T33,'Configuración'!$C$8:$T$8)/'Configuración'!$U$8*10,""))</f>
        <v/>
      </c>
      <c r="Y33" s="25" t="str">
        <f>IF(COUNT(C33:T33)=0,"",IFERROR(SUMPRODUCT(C33:T33,'Configuración'!$C$9:$T$9)/'Configuración'!$U$9*10,""))</f>
        <v/>
      </c>
      <c r="Z33" s="25" t="str">
        <f>IF(COUNT(C33:T33)=0,"",IFERROR(SUMPRODUCT(C33:T33,'Configuración'!$C$10:$T$10)/'Configuración'!$U$10*10,""))</f>
        <v/>
      </c>
      <c r="AA33" s="25" t="str">
        <f>IF(COUNT(C33:T33)=0,"",IFERROR(SUMPRODUCT(C33:T33,'Configuración'!$C$11:$T$11)/'Configuración'!$U$11*10,""))</f>
        <v/>
      </c>
      <c r="AB33" s="25" t="str">
        <f>IF(COUNT(C33:T33)=0,"",IFERROR(SUMPRODUCT(C33:T33,'Configuración'!$C$12:$T$12)/'Configuración'!$U$12*10,""))</f>
        <v/>
      </c>
      <c r="AC33" s="26"/>
      <c r="AD33" s="26"/>
    </row>
    <row r="34" ht="15.75" customHeight="1">
      <c r="A34" s="21">
        <v>27.0</v>
      </c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4" t="str">
        <f t="shared" si="1"/>
        <v/>
      </c>
      <c r="V34" s="25" t="str">
        <f>IF(COUNT(C34:T34)=0,"",IFERROR(SUMPRODUCT(C34:T34,'Configuración'!$C$6:$T$6)/'Configuración'!$U$6*10,""))</f>
        <v/>
      </c>
      <c r="W34" s="25" t="str">
        <f>IF(COUNT(C34:T34)=0,"",IFERROR(SUMPRODUCT(C34:T34,'Configuración'!$C$7:$T$7)/'Configuración'!$U$7*10,""))</f>
        <v/>
      </c>
      <c r="X34" s="25" t="str">
        <f>IF(COUNT(C34:T34)=0,"",IFERROR(SUMPRODUCT(C34:T34,'Configuración'!$C$8:$T$8)/'Configuración'!$U$8*10,""))</f>
        <v/>
      </c>
      <c r="Y34" s="25" t="str">
        <f>IF(COUNT(C34:T34)=0,"",IFERROR(SUMPRODUCT(C34:T34,'Configuración'!$C$9:$T$9)/'Configuración'!$U$9*10,""))</f>
        <v/>
      </c>
      <c r="Z34" s="25" t="str">
        <f>IF(COUNT(C34:T34)=0,"",IFERROR(SUMPRODUCT(C34:T34,'Configuración'!$C$10:$T$10)/'Configuración'!$U$10*10,""))</f>
        <v/>
      </c>
      <c r="AA34" s="25" t="str">
        <f>IF(COUNT(C34:T34)=0,"",IFERROR(SUMPRODUCT(C34:T34,'Configuración'!$C$11:$T$11)/'Configuración'!$U$11*10,""))</f>
        <v/>
      </c>
      <c r="AB34" s="25" t="str">
        <f>IF(COUNT(C34:T34)=0,"",IFERROR(SUMPRODUCT(C34:T34,'Configuración'!$C$12:$T$12)/'Configuración'!$U$12*10,""))</f>
        <v/>
      </c>
      <c r="AC34" s="26"/>
      <c r="AD34" s="26"/>
    </row>
    <row r="35" ht="15.75" customHeight="1">
      <c r="A35" s="21">
        <v>28.0</v>
      </c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4" t="str">
        <f t="shared" si="1"/>
        <v/>
      </c>
      <c r="V35" s="25" t="str">
        <f>IF(COUNT(C35:T35)=0,"",IFERROR(SUMPRODUCT(C35:T35,'Configuración'!$C$6:$T$6)/'Configuración'!$U$6*10,""))</f>
        <v/>
      </c>
      <c r="W35" s="25" t="str">
        <f>IF(COUNT(C35:T35)=0,"",IFERROR(SUMPRODUCT(C35:T35,'Configuración'!$C$7:$T$7)/'Configuración'!$U$7*10,""))</f>
        <v/>
      </c>
      <c r="X35" s="25" t="str">
        <f>IF(COUNT(C35:T35)=0,"",IFERROR(SUMPRODUCT(C35:T35,'Configuración'!$C$8:$T$8)/'Configuración'!$U$8*10,""))</f>
        <v/>
      </c>
      <c r="Y35" s="25" t="str">
        <f>IF(COUNT(C35:T35)=0,"",IFERROR(SUMPRODUCT(C35:T35,'Configuración'!$C$9:$T$9)/'Configuración'!$U$9*10,""))</f>
        <v/>
      </c>
      <c r="Z35" s="25" t="str">
        <f>IF(COUNT(C35:T35)=0,"",IFERROR(SUMPRODUCT(C35:T35,'Configuración'!$C$10:$T$10)/'Configuración'!$U$10*10,""))</f>
        <v/>
      </c>
      <c r="AA35" s="25" t="str">
        <f>IF(COUNT(C35:T35)=0,"",IFERROR(SUMPRODUCT(C35:T35,'Configuración'!$C$11:$T$11)/'Configuración'!$U$11*10,""))</f>
        <v/>
      </c>
      <c r="AB35" s="25" t="str">
        <f>IF(COUNT(C35:T35)=0,"",IFERROR(SUMPRODUCT(C35:T35,'Configuración'!$C$12:$T$12)/'Configuración'!$U$12*10,""))</f>
        <v/>
      </c>
      <c r="AC35" s="26"/>
      <c r="AD35" s="26"/>
    </row>
    <row r="36" ht="15.75" customHeight="1">
      <c r="A36" s="21">
        <v>29.0</v>
      </c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4" t="str">
        <f t="shared" si="1"/>
        <v/>
      </c>
      <c r="V36" s="25" t="str">
        <f>IF(COUNT(C36:T36)=0,"",IFERROR(SUMPRODUCT(C36:T36,'Configuración'!$C$6:$T$6)/'Configuración'!$U$6*10,""))</f>
        <v/>
      </c>
      <c r="W36" s="25" t="str">
        <f>IF(COUNT(C36:T36)=0,"",IFERROR(SUMPRODUCT(C36:T36,'Configuración'!$C$7:$T$7)/'Configuración'!$U$7*10,""))</f>
        <v/>
      </c>
      <c r="X36" s="25" t="str">
        <f>IF(COUNT(C36:T36)=0,"",IFERROR(SUMPRODUCT(C36:T36,'Configuración'!$C$8:$T$8)/'Configuración'!$U$8*10,""))</f>
        <v/>
      </c>
      <c r="Y36" s="25" t="str">
        <f>IF(COUNT(C36:T36)=0,"",IFERROR(SUMPRODUCT(C36:T36,'Configuración'!$C$9:$T$9)/'Configuración'!$U$9*10,""))</f>
        <v/>
      </c>
      <c r="Z36" s="25" t="str">
        <f>IF(COUNT(C36:T36)=0,"",IFERROR(SUMPRODUCT(C36:T36,'Configuración'!$C$10:$T$10)/'Configuración'!$U$10*10,""))</f>
        <v/>
      </c>
      <c r="AA36" s="25" t="str">
        <f>IF(COUNT(C36:T36)=0,"",IFERROR(SUMPRODUCT(C36:T36,'Configuración'!$C$11:$T$11)/'Configuración'!$U$11*10,""))</f>
        <v/>
      </c>
      <c r="AB36" s="25" t="str">
        <f>IF(COUNT(C36:T36)=0,"",IFERROR(SUMPRODUCT(C36:T36,'Configuración'!$C$12:$T$12)/'Configuración'!$U$12*10,""))</f>
        <v/>
      </c>
      <c r="AC36" s="26"/>
      <c r="AD36" s="26"/>
    </row>
    <row r="37" ht="15.75" customHeight="1">
      <c r="A37" s="21">
        <v>30.0</v>
      </c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4" t="str">
        <f t="shared" si="1"/>
        <v/>
      </c>
      <c r="V37" s="25" t="str">
        <f>IF(COUNT(C37:T37)=0,"",IFERROR(SUMPRODUCT(C37:T37,'Configuración'!$C$6:$T$6)/'Configuración'!$U$6*10,""))</f>
        <v/>
      </c>
      <c r="W37" s="25" t="str">
        <f>IF(COUNT(C37:T37)=0,"",IFERROR(SUMPRODUCT(C37:T37,'Configuración'!$C$7:$T$7)/'Configuración'!$U$7*10,""))</f>
        <v/>
      </c>
      <c r="X37" s="25" t="str">
        <f>IF(COUNT(C37:T37)=0,"",IFERROR(SUMPRODUCT(C37:T37,'Configuración'!$C$8:$T$8)/'Configuración'!$U$8*10,""))</f>
        <v/>
      </c>
      <c r="Y37" s="25" t="str">
        <f>IF(COUNT(C37:T37)=0,"",IFERROR(SUMPRODUCT(C37:T37,'Configuración'!$C$9:$T$9)/'Configuración'!$U$9*10,""))</f>
        <v/>
      </c>
      <c r="Z37" s="25" t="str">
        <f>IF(COUNT(C37:T37)=0,"",IFERROR(SUMPRODUCT(C37:T37,'Configuración'!$C$10:$T$10)/'Configuración'!$U$10*10,""))</f>
        <v/>
      </c>
      <c r="AA37" s="25" t="str">
        <f>IF(COUNT(C37:T37)=0,"",IFERROR(SUMPRODUCT(C37:T37,'Configuración'!$C$11:$T$11)/'Configuración'!$U$11*10,""))</f>
        <v/>
      </c>
      <c r="AB37" s="25" t="str">
        <f>IF(COUNT(C37:T37)=0,"",IFERROR(SUMPRODUCT(C37:T37,'Configuración'!$C$12:$T$12)/'Configuración'!$U$12*10,""))</f>
        <v/>
      </c>
      <c r="AC37" s="26"/>
      <c r="AD37" s="26"/>
    </row>
    <row r="38" ht="15.75" customHeight="1">
      <c r="A38" s="21">
        <v>31.0</v>
      </c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4" t="str">
        <f t="shared" si="1"/>
        <v/>
      </c>
      <c r="V38" s="25" t="str">
        <f>IF(COUNT(C38:T38)=0,"",IFERROR(SUMPRODUCT(C38:T38,'Configuración'!$C$6:$T$6)/'Configuración'!$U$6*10,""))</f>
        <v/>
      </c>
      <c r="W38" s="25" t="str">
        <f>IF(COUNT(C38:T38)=0,"",IFERROR(SUMPRODUCT(C38:T38,'Configuración'!$C$7:$T$7)/'Configuración'!$U$7*10,""))</f>
        <v/>
      </c>
      <c r="X38" s="25" t="str">
        <f>IF(COUNT(C38:T38)=0,"",IFERROR(SUMPRODUCT(C38:T38,'Configuración'!$C$8:$T$8)/'Configuración'!$U$8*10,""))</f>
        <v/>
      </c>
      <c r="Y38" s="25" t="str">
        <f>IF(COUNT(C38:T38)=0,"",IFERROR(SUMPRODUCT(C38:T38,'Configuración'!$C$9:$T$9)/'Configuración'!$U$9*10,""))</f>
        <v/>
      </c>
      <c r="Z38" s="25" t="str">
        <f>IF(COUNT(C38:T38)=0,"",IFERROR(SUMPRODUCT(C38:T38,'Configuración'!$C$10:$T$10)/'Configuración'!$U$10*10,""))</f>
        <v/>
      </c>
      <c r="AA38" s="25" t="str">
        <f>IF(COUNT(C38:T38)=0,"",IFERROR(SUMPRODUCT(C38:T38,'Configuración'!$C$11:$T$11)/'Configuración'!$U$11*10,""))</f>
        <v/>
      </c>
      <c r="AB38" s="25" t="str">
        <f>IF(COUNT(C38:T38)=0,"",IFERROR(SUMPRODUCT(C38:T38,'Configuración'!$C$12:$T$12)/'Configuración'!$U$12*10,""))</f>
        <v/>
      </c>
      <c r="AC38" s="26"/>
      <c r="AD38" s="26"/>
    </row>
    <row r="39" ht="15.75" customHeight="1">
      <c r="A39" s="21">
        <v>32.0</v>
      </c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4" t="str">
        <f t="shared" si="1"/>
        <v/>
      </c>
      <c r="V39" s="25" t="str">
        <f>IF(COUNT(C39:T39)=0,"",IFERROR(SUMPRODUCT(C39:T39,'Configuración'!$C$6:$T$6)/'Configuración'!$U$6*10,""))</f>
        <v/>
      </c>
      <c r="W39" s="25" t="str">
        <f>IF(COUNT(C39:T39)=0,"",IFERROR(SUMPRODUCT(C39:T39,'Configuración'!$C$7:$T$7)/'Configuración'!$U$7*10,""))</f>
        <v/>
      </c>
      <c r="X39" s="25" t="str">
        <f>IF(COUNT(C39:T39)=0,"",IFERROR(SUMPRODUCT(C39:T39,'Configuración'!$C$8:$T$8)/'Configuración'!$U$8*10,""))</f>
        <v/>
      </c>
      <c r="Y39" s="25" t="str">
        <f>IF(COUNT(C39:T39)=0,"",IFERROR(SUMPRODUCT(C39:T39,'Configuración'!$C$9:$T$9)/'Configuración'!$U$9*10,""))</f>
        <v/>
      </c>
      <c r="Z39" s="25" t="str">
        <f>IF(COUNT(C39:T39)=0,"",IFERROR(SUMPRODUCT(C39:T39,'Configuración'!$C$10:$T$10)/'Configuración'!$U$10*10,""))</f>
        <v/>
      </c>
      <c r="AA39" s="25" t="str">
        <f>IF(COUNT(C39:T39)=0,"",IFERROR(SUMPRODUCT(C39:T39,'Configuración'!$C$11:$T$11)/'Configuración'!$U$11*10,""))</f>
        <v/>
      </c>
      <c r="AB39" s="25" t="str">
        <f>IF(COUNT(C39:T39)=0,"",IFERROR(SUMPRODUCT(C39:T39,'Configuración'!$C$12:$T$12)/'Configuración'!$U$12*10,""))</f>
        <v/>
      </c>
      <c r="AC39" s="26"/>
      <c r="AD39" s="26"/>
    </row>
    <row r="40" ht="15.75" customHeight="1">
      <c r="A40" s="21">
        <v>33.0</v>
      </c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4" t="str">
        <f t="shared" si="1"/>
        <v/>
      </c>
      <c r="V40" s="25" t="str">
        <f>IF(COUNT(C40:T40)=0,"",IFERROR(SUMPRODUCT(C40:T40,'Configuración'!$C$6:$T$6)/'Configuración'!$U$6*10,""))</f>
        <v/>
      </c>
      <c r="W40" s="25" t="str">
        <f>IF(COUNT(C40:T40)=0,"",IFERROR(SUMPRODUCT(C40:T40,'Configuración'!$C$7:$T$7)/'Configuración'!$U$7*10,""))</f>
        <v/>
      </c>
      <c r="X40" s="25" t="str">
        <f>IF(COUNT(C40:T40)=0,"",IFERROR(SUMPRODUCT(C40:T40,'Configuración'!$C$8:$T$8)/'Configuración'!$U$8*10,""))</f>
        <v/>
      </c>
      <c r="Y40" s="25" t="str">
        <f>IF(COUNT(C40:T40)=0,"",IFERROR(SUMPRODUCT(C40:T40,'Configuración'!$C$9:$T$9)/'Configuración'!$U$9*10,""))</f>
        <v/>
      </c>
      <c r="Z40" s="25" t="str">
        <f>IF(COUNT(C40:T40)=0,"",IFERROR(SUMPRODUCT(C40:T40,'Configuración'!$C$10:$T$10)/'Configuración'!$U$10*10,""))</f>
        <v/>
      </c>
      <c r="AA40" s="25" t="str">
        <f>IF(COUNT(C40:T40)=0,"",IFERROR(SUMPRODUCT(C40:T40,'Configuración'!$C$11:$T$11)/'Configuración'!$U$11*10,""))</f>
        <v/>
      </c>
      <c r="AB40" s="25" t="str">
        <f>IF(COUNT(C40:T40)=0,"",IFERROR(SUMPRODUCT(C40:T40,'Configuración'!$C$12:$T$12)/'Configuración'!$U$12*10,""))</f>
        <v/>
      </c>
      <c r="AC40" s="26"/>
      <c r="AD40" s="26"/>
    </row>
    <row r="41" ht="15.75" customHeight="1">
      <c r="A41" s="21">
        <v>34.0</v>
      </c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4" t="str">
        <f t="shared" si="1"/>
        <v/>
      </c>
      <c r="V41" s="25" t="str">
        <f>IF(COUNT(C41:T41)=0,"",IFERROR(SUMPRODUCT(C41:T41,'Configuración'!$C$6:$T$6)/'Configuración'!$U$6*10,""))</f>
        <v/>
      </c>
      <c r="W41" s="25" t="str">
        <f>IF(COUNT(C41:T41)=0,"",IFERROR(SUMPRODUCT(C41:T41,'Configuración'!$C$7:$T$7)/'Configuración'!$U$7*10,""))</f>
        <v/>
      </c>
      <c r="X41" s="25" t="str">
        <f>IF(COUNT(C41:T41)=0,"",IFERROR(SUMPRODUCT(C41:T41,'Configuración'!$C$8:$T$8)/'Configuración'!$U$8*10,""))</f>
        <v/>
      </c>
      <c r="Y41" s="25" t="str">
        <f>IF(COUNT(C41:T41)=0,"",IFERROR(SUMPRODUCT(C41:T41,'Configuración'!$C$9:$T$9)/'Configuración'!$U$9*10,""))</f>
        <v/>
      </c>
      <c r="Z41" s="25" t="str">
        <f>IF(COUNT(C41:T41)=0,"",IFERROR(SUMPRODUCT(C41:T41,'Configuración'!$C$10:$T$10)/'Configuración'!$U$10*10,""))</f>
        <v/>
      </c>
      <c r="AA41" s="25" t="str">
        <f>IF(COUNT(C41:T41)=0,"",IFERROR(SUMPRODUCT(C41:T41,'Configuración'!$C$11:$T$11)/'Configuración'!$U$11*10,""))</f>
        <v/>
      </c>
      <c r="AB41" s="25" t="str">
        <f>IF(COUNT(C41:T41)=0,"",IFERROR(SUMPRODUCT(C41:T41,'Configuración'!$C$12:$T$12)/'Configuración'!$U$12*10,""))</f>
        <v/>
      </c>
      <c r="AC41" s="26"/>
      <c r="AD41" s="26"/>
    </row>
    <row r="42" ht="15.75" customHeight="1">
      <c r="A42" s="21">
        <v>35.0</v>
      </c>
      <c r="B42" s="22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4" t="str">
        <f t="shared" si="1"/>
        <v/>
      </c>
      <c r="V42" s="25" t="str">
        <f>IF(COUNT(C42:T42)=0,"",IFERROR(SUMPRODUCT(C42:T42,'Configuración'!$C$6:$T$6)/'Configuración'!$U$6*10,""))</f>
        <v/>
      </c>
      <c r="W42" s="25" t="str">
        <f>IF(COUNT(C42:T42)=0,"",IFERROR(SUMPRODUCT(C42:T42,'Configuración'!$C$7:$T$7)/'Configuración'!$U$7*10,""))</f>
        <v/>
      </c>
      <c r="X42" s="25" t="str">
        <f>IF(COUNT(C42:T42)=0,"",IFERROR(SUMPRODUCT(C42:T42,'Configuración'!$C$8:$T$8)/'Configuración'!$U$8*10,""))</f>
        <v/>
      </c>
      <c r="Y42" s="25" t="str">
        <f>IF(COUNT(C42:T42)=0,"",IFERROR(SUMPRODUCT(C42:T42,'Configuración'!$C$9:$T$9)/'Configuración'!$U$9*10,""))</f>
        <v/>
      </c>
      <c r="Z42" s="25" t="str">
        <f>IF(COUNT(C42:T42)=0,"",IFERROR(SUMPRODUCT(C42:T42,'Configuración'!$C$10:$T$10)/'Configuración'!$U$10*10,""))</f>
        <v/>
      </c>
      <c r="AA42" s="25" t="str">
        <f>IF(COUNT(C42:T42)=0,"",IFERROR(SUMPRODUCT(C42:T42,'Configuración'!$C$11:$T$11)/'Configuración'!$U$11*10,""))</f>
        <v/>
      </c>
      <c r="AB42" s="25" t="str">
        <f>IF(COUNT(C42:T42)=0,"",IFERROR(SUMPRODUCT(C42:T42,'Configuración'!$C$12:$T$12)/'Configuración'!$U$12*10,""))</f>
        <v/>
      </c>
      <c r="AC42" s="26"/>
      <c r="AD42" s="26"/>
    </row>
    <row r="43" ht="15.75" customHeight="1">
      <c r="B43" s="27" t="s">
        <v>60</v>
      </c>
    </row>
    <row r="44" ht="15.75" customHeight="1">
      <c r="B44" s="28" t="s">
        <v>61</v>
      </c>
      <c r="U44" s="14" t="str">
        <f t="shared" ref="U44:AD44" si="2">IF(COUNT(U8:U42)=0,"",AVERAGE(U8:U42))</f>
        <v/>
      </c>
      <c r="V44" s="14" t="str">
        <f t="shared" si="2"/>
        <v/>
      </c>
      <c r="W44" s="14" t="str">
        <f t="shared" si="2"/>
        <v/>
      </c>
      <c r="X44" s="14" t="str">
        <f t="shared" si="2"/>
        <v/>
      </c>
      <c r="Y44" s="14" t="str">
        <f t="shared" si="2"/>
        <v/>
      </c>
      <c r="Z44" s="14" t="str">
        <f t="shared" si="2"/>
        <v/>
      </c>
      <c r="AA44" s="14" t="str">
        <f t="shared" si="2"/>
        <v/>
      </c>
      <c r="AB44" s="14" t="str">
        <f t="shared" si="2"/>
        <v/>
      </c>
      <c r="AC44" s="14" t="str">
        <f t="shared" si="2"/>
        <v/>
      </c>
      <c r="AD44" s="14" t="str">
        <f t="shared" si="2"/>
        <v/>
      </c>
    </row>
    <row r="45" ht="15.75" customHeight="1">
      <c r="B45" s="28" t="s">
        <v>62</v>
      </c>
      <c r="U45" s="14" t="str">
        <f t="shared" ref="U45:AD45" si="3">IF(COUNT(U8:U42)=0,"",MAX(U8:U42))</f>
        <v/>
      </c>
      <c r="V45" s="14" t="str">
        <f t="shared" si="3"/>
        <v/>
      </c>
      <c r="W45" s="14" t="str">
        <f t="shared" si="3"/>
        <v/>
      </c>
      <c r="X45" s="14" t="str">
        <f t="shared" si="3"/>
        <v/>
      </c>
      <c r="Y45" s="14" t="str">
        <f t="shared" si="3"/>
        <v/>
      </c>
      <c r="Z45" s="14" t="str">
        <f t="shared" si="3"/>
        <v/>
      </c>
      <c r="AA45" s="14" t="str">
        <f t="shared" si="3"/>
        <v/>
      </c>
      <c r="AB45" s="14" t="str">
        <f t="shared" si="3"/>
        <v/>
      </c>
      <c r="AC45" s="14" t="str">
        <f t="shared" si="3"/>
        <v/>
      </c>
      <c r="AD45" s="14" t="str">
        <f t="shared" si="3"/>
        <v/>
      </c>
    </row>
    <row r="46" ht="15.75" customHeight="1">
      <c r="B46" s="28" t="s">
        <v>63</v>
      </c>
      <c r="U46" s="14" t="str">
        <f t="shared" ref="U46:AD46" si="4">IF(COUNT(U8:U42)=0,"",MIN(U8:U42))</f>
        <v/>
      </c>
      <c r="V46" s="14" t="str">
        <f t="shared" si="4"/>
        <v/>
      </c>
      <c r="W46" s="14" t="str">
        <f t="shared" si="4"/>
        <v/>
      </c>
      <c r="X46" s="14" t="str">
        <f t="shared" si="4"/>
        <v/>
      </c>
      <c r="Y46" s="14" t="str">
        <f t="shared" si="4"/>
        <v/>
      </c>
      <c r="Z46" s="14" t="str">
        <f t="shared" si="4"/>
        <v/>
      </c>
      <c r="AA46" s="14" t="str">
        <f t="shared" si="4"/>
        <v/>
      </c>
      <c r="AB46" s="14" t="str">
        <f t="shared" si="4"/>
        <v/>
      </c>
      <c r="AC46" s="14" t="str">
        <f t="shared" si="4"/>
        <v/>
      </c>
      <c r="AD46" s="14" t="str">
        <f t="shared" si="4"/>
        <v/>
      </c>
    </row>
    <row r="47" ht="15.75" customHeight="1">
      <c r="B47" s="28" t="s">
        <v>64</v>
      </c>
      <c r="U47" s="29" t="str">
        <f t="shared" ref="U47:AD47" si="5">IF(COUNT(U8:U42)=0,"",COUNTIF(U8:U42,"&gt;=5")/COUNT(U8:U42))</f>
        <v/>
      </c>
      <c r="V47" s="29" t="str">
        <f t="shared" si="5"/>
        <v/>
      </c>
      <c r="W47" s="29" t="str">
        <f t="shared" si="5"/>
        <v/>
      </c>
      <c r="X47" s="29" t="str">
        <f t="shared" si="5"/>
        <v/>
      </c>
      <c r="Y47" s="29" t="str">
        <f t="shared" si="5"/>
        <v/>
      </c>
      <c r="Z47" s="29" t="str">
        <f t="shared" si="5"/>
        <v/>
      </c>
      <c r="AA47" s="29" t="str">
        <f t="shared" si="5"/>
        <v/>
      </c>
      <c r="AB47" s="29" t="str">
        <f t="shared" si="5"/>
        <v/>
      </c>
      <c r="AC47" s="29" t="str">
        <f t="shared" si="5"/>
        <v/>
      </c>
      <c r="AD47" s="29" t="str">
        <f t="shared" si="5"/>
        <v/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P4:S4"/>
    <mergeCell ref="V4:AD4"/>
    <mergeCell ref="A4:A5"/>
    <mergeCell ref="B4:B5"/>
    <mergeCell ref="C4:E4"/>
    <mergeCell ref="F4:H4"/>
    <mergeCell ref="I4:L4"/>
    <mergeCell ref="M4:O4"/>
    <mergeCell ref="U4:U5"/>
  </mergeCells>
  <conditionalFormatting sqref="U7:AD42">
    <cfRule type="cellIs" dxfId="0" priority="1" operator="between">
      <formula>0</formula>
      <formula>4.999</formula>
    </cfRule>
  </conditionalFormatting>
  <conditionalFormatting sqref="U7:AD42">
    <cfRule type="cellIs" dxfId="1" priority="2" operator="between">
      <formula>5</formula>
      <formula>6.999</formula>
    </cfRule>
  </conditionalFormatting>
  <conditionalFormatting sqref="U7:AD42">
    <cfRule type="cellIs" dxfId="2" priority="3" operator="between">
      <formula>7</formula>
      <formula>8.999</formula>
    </cfRule>
  </conditionalFormatting>
  <conditionalFormatting sqref="U7:AD42">
    <cfRule type="cellIs" dxfId="3" priority="4" operator="greaterThanOrEqual">
      <formula>9</formula>
    </cfRule>
  </conditionalFormatting>
  <dataValidations>
    <dataValidation type="decimal" allowBlank="1" showInputMessage="1" showErrorMessage="1" prompt="Valor no válido - La puntuación debe estar entre 0 y el máximo del apartado." sqref="L7:L42">
      <formula1>0.0</formula1>
      <formula2>$L$6</formula2>
    </dataValidation>
    <dataValidation type="decimal" allowBlank="1" showInputMessage="1" showErrorMessage="1" prompt="Valor no válido - La puntuación debe estar entre 0 y el máximo del apartado." sqref="C7:C42">
      <formula1>0.0</formula1>
      <formula2>$C$6</formula2>
    </dataValidation>
    <dataValidation type="decimal" allowBlank="1" showInputMessage="1" showErrorMessage="1" prompt="Valor no válido - La puntuación debe estar entre 0 y el máximo del apartado." sqref="S7:S42">
      <formula1>0.0</formula1>
      <formula2>$S$6</formula2>
    </dataValidation>
    <dataValidation type="decimal" allowBlank="1" showInputMessage="1" showErrorMessage="1" prompt="Valor no válido - La puntuación debe estar entre 0 y el máximo del apartado." sqref="T7:T42">
      <formula1>0.0</formula1>
      <formula2>$T$6</formula2>
    </dataValidation>
    <dataValidation type="decimal" allowBlank="1" showInputMessage="1" showErrorMessage="1" prompt="Valor entre 0 y 10." sqref="AC7:AD42">
      <formula1>0.0</formula1>
      <formula2>10.0</formula2>
    </dataValidation>
    <dataValidation type="decimal" allowBlank="1" showInputMessage="1" showErrorMessage="1" prompt="Valor no válido - La puntuación debe estar entre 0 y el máximo del apartado." sqref="K7:K42">
      <formula1>0.0</formula1>
      <formula2>$K$6</formula2>
    </dataValidation>
    <dataValidation type="decimal" allowBlank="1" showInputMessage="1" showErrorMessage="1" prompt="Valor no válido - La puntuación debe estar entre 0 y el máximo del apartado." sqref="E7:E42">
      <formula1>0.0</formula1>
      <formula2>$E$6</formula2>
    </dataValidation>
    <dataValidation type="decimal" allowBlank="1" showInputMessage="1" showErrorMessage="1" prompt="Valor no válido - La puntuación debe estar entre 0 y el máximo del apartado." sqref="R7:R42">
      <formula1>0.0</formula1>
      <formula2>$R$6</formula2>
    </dataValidation>
    <dataValidation type="decimal" allowBlank="1" showInputMessage="1" showErrorMessage="1" prompt="Valor no válido - La puntuación debe estar entre 0 y el máximo del apartado." sqref="D7:D42">
      <formula1>0.0</formula1>
      <formula2>$D$6</formula2>
    </dataValidation>
    <dataValidation type="decimal" allowBlank="1" showInputMessage="1" showErrorMessage="1" prompt="Valor no válido - La puntuación debe estar entre 0 y el máximo del apartado." sqref="J7:J42">
      <formula1>0.0</formula1>
      <formula2>$J$6</formula2>
    </dataValidation>
    <dataValidation type="decimal" allowBlank="1" showInputMessage="1" showErrorMessage="1" prompt="Valor no válido - La puntuación debe estar entre 0 y el máximo del apartado." sqref="Q7:Q42">
      <formula1>0.0</formula1>
      <formula2>$Q$6</formula2>
    </dataValidation>
    <dataValidation type="decimal" allowBlank="1" showInputMessage="1" showErrorMessage="1" prompt="Valor no válido - La puntuación debe estar entre 0 y el máximo del apartado." sqref="I7:I42">
      <formula1>0.0</formula1>
      <formula2>$I$6</formula2>
    </dataValidation>
    <dataValidation type="decimal" allowBlank="1" showInputMessage="1" showErrorMessage="1" prompt="Valor no válido - La puntuación debe estar entre 0 y el máximo del apartado." sqref="H7:H42">
      <formula1>0.0</formula1>
      <formula2>$H$6</formula2>
    </dataValidation>
    <dataValidation type="decimal" allowBlank="1" showInputMessage="1" showErrorMessage="1" prompt="Valor no válido - La puntuación debe estar entre 0 y el máximo del apartado." sqref="P7:P42">
      <formula1>0.0</formula1>
      <formula2>$P$6</formula2>
    </dataValidation>
    <dataValidation type="decimal" allowBlank="1" showInputMessage="1" showErrorMessage="1" prompt="Valor no válido - La puntuación debe estar entre 0 y el máximo del apartado." sqref="F7:F42">
      <formula1>0.0</formula1>
      <formula2>$F$6</formula2>
    </dataValidation>
    <dataValidation type="decimal" allowBlank="1" showInputMessage="1" showErrorMessage="1" prompt="Valor no válido - La puntuación debe estar entre 0 y el máximo del apartado." sqref="O7:O42">
      <formula1>0.0</formula1>
      <formula2>$O$6</formula2>
    </dataValidation>
    <dataValidation type="decimal" allowBlank="1" showInputMessage="1" showErrorMessage="1" prompt="Valor no válido - La puntuación debe estar entre 0 y el máximo del apartado." sqref="N7:N42">
      <formula1>0.0</formula1>
      <formula2>$N$6</formula2>
    </dataValidation>
    <dataValidation type="decimal" allowBlank="1" showInputMessage="1" showErrorMessage="1" prompt="Valor no válido - La puntuación debe estar entre 0 y el máximo del apartado." sqref="G7:G42">
      <formula1>0.0</formula1>
      <formula2>$G$6</formula2>
    </dataValidation>
    <dataValidation type="decimal" allowBlank="1" showInputMessage="1" showErrorMessage="1" prompt="Valor no válido - La puntuación debe estar entre 0 y el máximo del apartado." sqref="M7:M42">
      <formula1>0.0</formula1>
      <formula2>$M$6</formula2>
    </dataValidation>
  </dataValidations>
  <printOptions/>
  <pageMargins bottom="1.0" footer="0.0" header="0.0" left="0.75" right="0.75" top="1.0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9.0"/>
    <col customWidth="1" min="2" max="2" width="55.0"/>
    <col customWidth="1" min="3" max="20" width="6.0"/>
    <col customWidth="1" min="21" max="21" width="12.0"/>
  </cols>
  <sheetData>
    <row r="1">
      <c r="A1" s="1" t="s">
        <v>65</v>
      </c>
    </row>
    <row r="2">
      <c r="A2" s="27" t="s">
        <v>66</v>
      </c>
    </row>
    <row r="4" ht="18.0" customHeight="1">
      <c r="A4" s="11" t="s">
        <v>67</v>
      </c>
      <c r="B4" s="30" t="s">
        <v>68</v>
      </c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11" t="s">
        <v>35</v>
      </c>
      <c r="I4" s="11" t="s">
        <v>36</v>
      </c>
      <c r="J4" s="11" t="s">
        <v>37</v>
      </c>
      <c r="K4" s="11" t="s">
        <v>38</v>
      </c>
      <c r="L4" s="11" t="s">
        <v>39</v>
      </c>
      <c r="M4" s="11" t="s">
        <v>40</v>
      </c>
      <c r="N4" s="11" t="s">
        <v>41</v>
      </c>
      <c r="O4" s="11" t="s">
        <v>42</v>
      </c>
      <c r="P4" s="11" t="s">
        <v>43</v>
      </c>
      <c r="Q4" s="11" t="s">
        <v>44</v>
      </c>
      <c r="R4" s="11" t="s">
        <v>45</v>
      </c>
      <c r="S4" s="11" t="s">
        <v>46</v>
      </c>
      <c r="T4" s="11" t="s">
        <v>47</v>
      </c>
      <c r="U4" s="11" t="s">
        <v>69</v>
      </c>
    </row>
    <row r="5" ht="18.0" customHeight="1">
      <c r="A5" s="31"/>
      <c r="B5" s="32" t="s">
        <v>70</v>
      </c>
      <c r="C5" s="31">
        <v>0.5</v>
      </c>
      <c r="D5" s="31">
        <v>0.75</v>
      </c>
      <c r="E5" s="31">
        <v>0.75</v>
      </c>
      <c r="F5" s="31">
        <v>0.5</v>
      </c>
      <c r="G5" s="31">
        <v>0.5</v>
      </c>
      <c r="H5" s="31">
        <v>0.5</v>
      </c>
      <c r="I5" s="31">
        <v>0.5</v>
      </c>
      <c r="J5" s="31">
        <v>0.5</v>
      </c>
      <c r="K5" s="31">
        <v>0.5</v>
      </c>
      <c r="L5" s="31">
        <v>0.5</v>
      </c>
      <c r="M5" s="31">
        <v>0.5</v>
      </c>
      <c r="N5" s="31">
        <v>0.5</v>
      </c>
      <c r="O5" s="31">
        <v>0.5</v>
      </c>
      <c r="P5" s="31">
        <v>0.5</v>
      </c>
      <c r="Q5" s="31">
        <v>0.5</v>
      </c>
      <c r="R5" s="31">
        <v>0.25</v>
      </c>
      <c r="S5" s="31">
        <v>0.75</v>
      </c>
      <c r="T5" s="31">
        <v>1.0</v>
      </c>
      <c r="U5" s="14">
        <f>SUM(C5:T5)</f>
        <v>10</v>
      </c>
    </row>
    <row r="6" ht="30.0" customHeight="1">
      <c r="A6" s="21" t="s">
        <v>48</v>
      </c>
      <c r="B6" s="33" t="s">
        <v>71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5"/>
    </row>
    <row r="7" ht="30.0" customHeight="1">
      <c r="A7" s="21" t="s">
        <v>49</v>
      </c>
      <c r="B7" s="33" t="s">
        <v>72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5"/>
    </row>
    <row r="8" ht="30.0" customHeight="1">
      <c r="A8" s="21" t="s">
        <v>50</v>
      </c>
      <c r="B8" s="33" t="s">
        <v>73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5"/>
    </row>
    <row r="9" ht="30.0" customHeight="1">
      <c r="A9" s="21" t="s">
        <v>51</v>
      </c>
      <c r="B9" s="33" t="s">
        <v>74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5"/>
    </row>
    <row r="10" ht="30.0" customHeight="1">
      <c r="A10" s="21" t="s">
        <v>52</v>
      </c>
      <c r="B10" s="33" t="s">
        <v>75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5"/>
    </row>
    <row r="11" ht="30.0" customHeight="1">
      <c r="A11" s="21" t="s">
        <v>53</v>
      </c>
      <c r="B11" s="33" t="s">
        <v>76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5"/>
    </row>
    <row r="12" ht="30.0" customHeight="1">
      <c r="A12" s="21" t="s">
        <v>54</v>
      </c>
      <c r="B12" s="33" t="s">
        <v>77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5"/>
    </row>
    <row r="14">
      <c r="A14" s="27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